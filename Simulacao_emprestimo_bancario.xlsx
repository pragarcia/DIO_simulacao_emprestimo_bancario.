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3ee5ff5904c2558/Desktop/"/>
    </mc:Choice>
  </mc:AlternateContent>
  <xr:revisionPtr revIDLastSave="0" documentId="14_{D8C3D202-8F6F-4600-9182-86AB6D5A89D8}" xr6:coauthVersionLast="47" xr6:coauthVersionMax="47" xr10:uidLastSave="{00000000-0000-0000-0000-000000000000}"/>
  <bookViews>
    <workbookView xWindow="-120" yWindow="-120" windowWidth="20730" windowHeight="11160" tabRatio="417" xr2:uid="{00000000-000D-0000-FFFF-FFFF00000000}"/>
  </bookViews>
  <sheets>
    <sheet name="Simulacao_emprestimo_bancarios" sheetId="1" r:id="rId1"/>
  </sheets>
  <definedNames>
    <definedName name="CPD_endevidamento">Simulacao_emprestimo_bancarios!$F$29</definedName>
    <definedName name="CPD_pagamento_disponivel">Simulacao_emprestimo_bancarios!$F$30</definedName>
    <definedName name="Parcela_mensal">Simulacao_emprestimo_bancarios!$H$13</definedName>
    <definedName name="Percentual_risco">Simulacao_emprestimo_bancarios!$F$31</definedName>
    <definedName name="Plazo">Simulacao_emprestimo_bancarios!$E$14</definedName>
    <definedName name="Prazo">Simulacao_emprestimo_bancarios!$E$14</definedName>
    <definedName name="Salario">Simulacao_emprestimo_bancarios!$F$28</definedName>
    <definedName name="Taxa_juros_mensal">Simulacao_emprestimo_bancarios!$E$15</definedName>
    <definedName name="Total_juros">Simulacao_emprestimo_bancarios!$H$14</definedName>
    <definedName name="Total_pagar">Simulacao_emprestimo_bancarios!$E$16</definedName>
    <definedName name="Valor_emprestimo">Simulacao_emprestimo_bancarios!$E$13</definedName>
  </definedNames>
  <calcPr calcId="181029"/>
</workbook>
</file>

<file path=xl/calcChain.xml><?xml version="1.0" encoding="utf-8"?>
<calcChain xmlns="http://schemas.openxmlformats.org/spreadsheetml/2006/main">
  <c r="H13" i="1" l="1"/>
  <c r="E16" i="1"/>
  <c r="F31" i="1"/>
  <c r="H34" i="1"/>
  <c r="E34" i="1"/>
  <c r="D34" i="1"/>
  <c r="F29" i="1"/>
  <c r="F30" i="1"/>
  <c r="E25" i="1"/>
  <c r="F25" i="1"/>
  <c r="H25" i="1"/>
  <c r="E24" i="1"/>
  <c r="F24" i="1"/>
  <c r="H24" i="1"/>
  <c r="E23" i="1"/>
  <c r="F23" i="1"/>
  <c r="H23" i="1"/>
  <c r="E22" i="1"/>
  <c r="F22" i="1"/>
  <c r="H22" i="1"/>
  <c r="E21" i="1"/>
  <c r="F21" i="1"/>
  <c r="H21" i="1"/>
  <c r="H14" i="1"/>
  <c r="E17" i="1"/>
</calcChain>
</file>

<file path=xl/sharedStrings.xml><?xml version="1.0" encoding="utf-8"?>
<sst xmlns="http://schemas.openxmlformats.org/spreadsheetml/2006/main" count="29" uniqueCount="27">
  <si>
    <t>SIMULADOR DE EMPRÉSTIMO BANCÁRIO</t>
  </si>
  <si>
    <t>Ferramenta de avaliação rápida de amortização, juros e análise de risco</t>
  </si>
  <si>
    <t>PARÂMETROS DO EMPRÉSTIMO</t>
  </si>
  <si>
    <t>RESUMO EXECUTIVO</t>
  </si>
  <si>
    <t>Valor do Empréstimo (capital)</t>
  </si>
  <si>
    <t>PARCELA MENSAL</t>
  </si>
  <si>
    <t>Prazo (Meses)</t>
  </si>
  <si>
    <t>TOTAL DE JUROS</t>
  </si>
  <si>
    <t>Taxa de Juros Mensal</t>
  </si>
  <si>
    <t>Total a pagar</t>
  </si>
  <si>
    <t>Custo Financeiro % (Juros / Capital)</t>
  </si>
  <si>
    <t>SIMULAÇÃO DE CENÁRIOS POR PRAZO</t>
  </si>
  <si>
    <t>CENÁRIOS</t>
  </si>
  <si>
    <t>TOTAL A PAGAR</t>
  </si>
  <si>
    <t>Quantos em 8 meses</t>
  </si>
  <si>
    <t>Quantos em 12 meses</t>
  </si>
  <si>
    <t>Quantos em 24 meses</t>
  </si>
  <si>
    <t>Quantos em 36 meses</t>
  </si>
  <si>
    <t>Quantos em 60 meses</t>
  </si>
  <si>
    <t>AVALIAÇÃO DO SEU PERFIL E CAPACIDADE FINANCEIRA</t>
  </si>
  <si>
    <t>SALÁRIO</t>
  </si>
  <si>
    <t>CAPACIDADE DE PAGAMENTO (DISPONÍVEL)</t>
  </si>
  <si>
    <t>PERCENTUAL DE RISCO</t>
  </si>
  <si>
    <t>PERFIL</t>
  </si>
  <si>
    <t>APTIDÃO</t>
  </si>
  <si>
    <t>RISCO</t>
  </si>
  <si>
    <t>CAPACIDADE DE ENDEVIDAMENTO (30%) DO SALARIO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</si>
</sst>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"/>
  </numFmts>
  <fonts count="12" x14ac:knownFonts="1">
    <font>
      <sz val="11"/>
      <color theme="1"/>
      <name val="Calibri"/>
      <family val="2"/>
      <scheme val="minor"/>
    </font>
    <font>
      <i/>
      <sz val="10"/>
      <color rgb="FF718096"/>
      <name val="Calibri"/>
    </font>
    <font>
      <b/>
      <sz val="11"/>
      <color rgb="FFFFFFFF"/>
      <name val="Calibri"/>
    </font>
    <font>
      <sz val="10"/>
      <color rgb="FF2D3748"/>
      <name val="Calibri"/>
    </font>
    <font>
      <b/>
      <sz val="10"/>
      <color rgb="FF2D3748"/>
      <name val="Calibri"/>
    </font>
    <font>
      <b/>
      <sz val="12"/>
      <color rgb="FF1A365D"/>
      <name val="Calibri"/>
    </font>
    <font>
      <b/>
      <sz val="10"/>
      <color rgb="FFFFFFFF"/>
      <name val="Calibri"/>
    </font>
    <font>
      <sz val="11"/>
      <color theme="0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6"/>
      <color rgb="FF1A365D"/>
      <name val="Calibri"/>
      <family val="2"/>
    </font>
    <font>
      <b/>
      <sz val="11"/>
      <color rgb="FF2D3748"/>
      <name val="Calibri"/>
      <family val="2"/>
    </font>
    <font>
      <sz val="11"/>
      <color rgb="FF2D3748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0F4F8"/>
        <bgColor rgb="FFF0F4F8"/>
      </patternFill>
    </fill>
    <fill>
      <patternFill patternType="solid">
        <fgColor rgb="FFE8EEF5"/>
        <bgColor rgb="FFE8EEF5"/>
      </patternFill>
    </fill>
    <fill>
      <patternFill patternType="solid">
        <fgColor rgb="FF2C5282"/>
        <bgColor rgb="FF2C5282"/>
      </patternFill>
    </fill>
    <fill>
      <patternFill patternType="solid">
        <fgColor rgb="FFFEFCBF"/>
        <bgColor rgb="FFFEFCBF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39997558519241921"/>
        <bgColor rgb="FF1B365D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3" tint="0.79998168889431442"/>
      </left>
      <right/>
      <top style="thin">
        <color theme="3" tint="0.79998168889431442"/>
      </top>
      <bottom/>
      <diagonal/>
    </border>
    <border>
      <left/>
      <right style="thin">
        <color theme="3" tint="0.79998168889431442"/>
      </right>
      <top style="thin">
        <color theme="3" tint="0.79998168889431442"/>
      </top>
      <bottom/>
      <diagonal/>
    </border>
    <border>
      <left style="thin">
        <color theme="3" tint="0.79998168889431442"/>
      </left>
      <right/>
      <top/>
      <bottom/>
      <diagonal/>
    </border>
    <border>
      <left/>
      <right style="thin">
        <color theme="3" tint="0.79998168889431442"/>
      </right>
      <top/>
      <bottom/>
      <diagonal/>
    </border>
    <border>
      <left style="thin">
        <color theme="3" tint="0.79998168889431442"/>
      </left>
      <right/>
      <top/>
      <bottom style="thin">
        <color theme="3" tint="0.79998168889431442"/>
      </bottom>
      <diagonal/>
    </border>
    <border>
      <left/>
      <right style="thin">
        <color theme="3" tint="0.79998168889431442"/>
      </right>
      <top/>
      <bottom style="thin">
        <color theme="3" tint="0.79998168889431442"/>
      </bottom>
      <diagonal/>
    </border>
    <border>
      <left style="thin">
        <color theme="4" tint="0.79998168889431442"/>
      </left>
      <right/>
      <top style="thin">
        <color theme="4" tint="0.79998168889431442"/>
      </top>
      <bottom/>
      <diagonal/>
    </border>
    <border>
      <left/>
      <right/>
      <top style="thin">
        <color theme="4" tint="0.79998168889431442"/>
      </top>
      <bottom/>
      <diagonal/>
    </border>
    <border>
      <left/>
      <right style="thin">
        <color theme="4" tint="0.79998168889431442"/>
      </right>
      <top style="thin">
        <color theme="4" tint="0.79998168889431442"/>
      </top>
      <bottom/>
      <diagonal/>
    </border>
    <border>
      <left style="thin">
        <color theme="4" tint="0.79998168889431442"/>
      </left>
      <right/>
      <top/>
      <bottom/>
      <diagonal/>
    </border>
    <border>
      <left/>
      <right style="thin">
        <color theme="4" tint="0.79998168889431442"/>
      </right>
      <top/>
      <bottom/>
      <diagonal/>
    </border>
    <border>
      <left style="thin">
        <color theme="4" tint="0.79998168889431442"/>
      </left>
      <right/>
      <top/>
      <bottom style="thin">
        <color theme="4" tint="0.79998168889431442"/>
      </bottom>
      <diagonal/>
    </border>
    <border>
      <left/>
      <right/>
      <top/>
      <bottom style="thin">
        <color theme="4" tint="0.79998168889431442"/>
      </bottom>
      <diagonal/>
    </border>
    <border>
      <left/>
      <right style="thin">
        <color theme="4" tint="0.79998168889431442"/>
      </right>
      <top/>
      <bottom style="thin">
        <color theme="4" tint="0.79998168889431442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6" fillId="5" borderId="0" xfId="0" applyFont="1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7" fillId="0" borderId="0" xfId="0" applyFont="1"/>
    <xf numFmtId="0" fontId="8" fillId="7" borderId="0" xfId="0" applyFont="1" applyFill="1"/>
    <xf numFmtId="0" fontId="9" fillId="0" borderId="0" xfId="0" applyFont="1"/>
    <xf numFmtId="0" fontId="2" fillId="2" borderId="0" xfId="0" applyFont="1" applyFill="1" applyAlignment="1">
      <alignment horizontal="center" vertical="center"/>
    </xf>
    <xf numFmtId="0" fontId="0" fillId="0" borderId="0" xfId="0"/>
    <xf numFmtId="0" fontId="4" fillId="6" borderId="1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10" fontId="4" fillId="0" borderId="0" xfId="0" applyNumberFormat="1" applyFont="1" applyBorder="1" applyAlignment="1">
      <alignment horizontal="center" vertical="center"/>
    </xf>
    <xf numFmtId="164" fontId="4" fillId="0" borderId="0" xfId="0" applyNumberFormat="1" applyFont="1" applyBorder="1" applyAlignment="1">
      <alignment horizontal="center" vertical="center"/>
    </xf>
    <xf numFmtId="0" fontId="0" fillId="9" borderId="0" xfId="0" applyFill="1"/>
    <xf numFmtId="0" fontId="6" fillId="5" borderId="0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/>
    </xf>
    <xf numFmtId="3" fontId="4" fillId="0" borderId="0" xfId="0" applyNumberFormat="1" applyFont="1" applyBorder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3" fillId="0" borderId="2" xfId="0" applyFont="1" applyBorder="1"/>
    <xf numFmtId="0" fontId="3" fillId="0" borderId="4" xfId="0" applyFont="1" applyBorder="1"/>
    <xf numFmtId="0" fontId="3" fillId="10" borderId="4" xfId="0" applyFont="1" applyFill="1" applyBorder="1"/>
    <xf numFmtId="0" fontId="3" fillId="10" borderId="6" xfId="0" applyFont="1" applyFill="1" applyBorder="1"/>
    <xf numFmtId="0" fontId="4" fillId="3" borderId="0" xfId="0" applyFont="1" applyFill="1" applyBorder="1" applyAlignment="1"/>
    <xf numFmtId="164" fontId="5" fillId="4" borderId="0" xfId="0" applyNumberFormat="1" applyFont="1" applyFill="1" applyBorder="1" applyAlignment="1">
      <alignment horizontal="center" vertical="center"/>
    </xf>
    <xf numFmtId="0" fontId="4" fillId="3" borderId="0" xfId="0" applyFont="1" applyFill="1" applyBorder="1"/>
    <xf numFmtId="164" fontId="10" fillId="0" borderId="3" xfId="0" applyNumberFormat="1" applyFont="1" applyBorder="1" applyAlignment="1">
      <alignment horizontal="center" vertical="center"/>
    </xf>
    <xf numFmtId="3" fontId="10" fillId="0" borderId="5" xfId="0" applyNumberFormat="1" applyFont="1" applyBorder="1" applyAlignment="1">
      <alignment horizontal="center" vertical="center"/>
    </xf>
    <xf numFmtId="10" fontId="10" fillId="10" borderId="5" xfId="0" applyNumberFormat="1" applyFont="1" applyFill="1" applyBorder="1" applyAlignment="1">
      <alignment horizontal="center" vertical="center"/>
    </xf>
    <xf numFmtId="164" fontId="10" fillId="10" borderId="5" xfId="0" applyNumberFormat="1" applyFont="1" applyFill="1" applyBorder="1" applyAlignment="1">
      <alignment horizontal="center" vertical="center"/>
    </xf>
    <xf numFmtId="10" fontId="10" fillId="10" borderId="7" xfId="0" applyNumberFormat="1" applyFont="1" applyFill="1" applyBorder="1" applyAlignment="1">
      <alignment horizontal="center" vertical="center"/>
    </xf>
    <xf numFmtId="164" fontId="11" fillId="0" borderId="0" xfId="0" applyNumberFormat="1" applyFont="1" applyBorder="1" applyAlignment="1">
      <alignment horizontal="right" vertical="center"/>
    </xf>
    <xf numFmtId="164" fontId="11" fillId="0" borderId="0" xfId="0" applyNumberFormat="1" applyFont="1" applyBorder="1" applyAlignment="1">
      <alignment horizontal="center" vertical="center"/>
    </xf>
    <xf numFmtId="164" fontId="10" fillId="4" borderId="0" xfId="0" applyNumberFormat="1" applyFont="1" applyFill="1" applyBorder="1" applyAlignment="1">
      <alignment horizontal="right" vertical="center"/>
    </xf>
    <xf numFmtId="164" fontId="10" fillId="4" borderId="0" xfId="0" applyNumberFormat="1" applyFont="1" applyFill="1" applyBorder="1" applyAlignment="1">
      <alignment horizontal="center" vertical="center"/>
    </xf>
    <xf numFmtId="164" fontId="10" fillId="0" borderId="0" xfId="0" applyNumberFormat="1" applyFont="1" applyBorder="1" applyAlignment="1">
      <alignment horizontal="center" vertical="center"/>
    </xf>
    <xf numFmtId="0" fontId="0" fillId="0" borderId="0" xfId="0" applyFont="1" applyBorder="1"/>
    <xf numFmtId="0" fontId="11" fillId="0" borderId="8" xfId="0" applyFont="1" applyBorder="1"/>
    <xf numFmtId="164" fontId="11" fillId="0" borderId="9" xfId="0" applyNumberFormat="1" applyFont="1" applyBorder="1" applyAlignment="1">
      <alignment horizontal="right" vertical="center"/>
    </xf>
    <xf numFmtId="164" fontId="11" fillId="0" borderId="9" xfId="0" applyNumberFormat="1" applyFont="1" applyBorder="1" applyAlignment="1">
      <alignment horizontal="center" vertical="center"/>
    </xf>
    <xf numFmtId="164" fontId="11" fillId="0" borderId="10" xfId="0" applyNumberFormat="1" applyFont="1" applyBorder="1" applyAlignment="1">
      <alignment horizontal="right" vertical="center"/>
    </xf>
    <xf numFmtId="0" fontId="11" fillId="0" borderId="11" xfId="0" applyFont="1" applyBorder="1"/>
    <xf numFmtId="164" fontId="11" fillId="0" borderId="12" xfId="0" applyNumberFormat="1" applyFont="1" applyBorder="1" applyAlignment="1">
      <alignment horizontal="right" vertical="center"/>
    </xf>
    <xf numFmtId="0" fontId="10" fillId="4" borderId="11" xfId="0" applyFont="1" applyFill="1" applyBorder="1"/>
    <xf numFmtId="164" fontId="10" fillId="4" borderId="12" xfId="0" applyNumberFormat="1" applyFont="1" applyFill="1" applyBorder="1" applyAlignment="1">
      <alignment horizontal="right" vertical="center"/>
    </xf>
    <xf numFmtId="0" fontId="11" fillId="0" borderId="13" xfId="0" applyFont="1" applyBorder="1"/>
    <xf numFmtId="164" fontId="11" fillId="0" borderId="14" xfId="0" applyNumberFormat="1" applyFont="1" applyBorder="1" applyAlignment="1">
      <alignment horizontal="right" vertical="center"/>
    </xf>
    <xf numFmtId="164" fontId="11" fillId="0" borderId="14" xfId="0" applyNumberFormat="1" applyFont="1" applyBorder="1" applyAlignment="1">
      <alignment horizontal="center" vertical="center"/>
    </xf>
    <xf numFmtId="164" fontId="11" fillId="0" borderId="15" xfId="0" applyNumberFormat="1" applyFont="1" applyBorder="1" applyAlignment="1">
      <alignment horizontal="right" vertical="center"/>
    </xf>
    <xf numFmtId="0" fontId="10" fillId="3" borderId="8" xfId="0" applyFont="1" applyFill="1" applyBorder="1" applyAlignment="1">
      <alignment horizontal="left"/>
    </xf>
    <xf numFmtId="0" fontId="10" fillId="3" borderId="9" xfId="0" applyFont="1" applyFill="1" applyBorder="1" applyAlignment="1">
      <alignment horizontal="left"/>
    </xf>
    <xf numFmtId="164" fontId="10" fillId="0" borderId="9" xfId="0" applyNumberFormat="1" applyFont="1" applyBorder="1" applyAlignment="1">
      <alignment horizontal="center" vertical="center"/>
    </xf>
    <xf numFmtId="164" fontId="10" fillId="0" borderId="10" xfId="0" applyNumberFormat="1" applyFont="1" applyBorder="1" applyAlignment="1">
      <alignment horizontal="center" vertical="center"/>
    </xf>
    <xf numFmtId="0" fontId="10" fillId="3" borderId="11" xfId="0" applyFont="1" applyFill="1" applyBorder="1"/>
    <xf numFmtId="164" fontId="10" fillId="0" borderId="12" xfId="0" applyNumberFormat="1" applyFont="1" applyBorder="1" applyAlignment="1">
      <alignment horizontal="center" vertical="center"/>
    </xf>
    <xf numFmtId="0" fontId="10" fillId="3" borderId="13" xfId="0" applyFont="1" applyFill="1" applyBorder="1"/>
    <xf numFmtId="0" fontId="0" fillId="0" borderId="14" xfId="0" applyFont="1" applyBorder="1"/>
    <xf numFmtId="10" fontId="10" fillId="0" borderId="14" xfId="0" applyNumberFormat="1" applyFont="1" applyBorder="1" applyAlignment="1">
      <alignment horizontal="center" vertical="center"/>
    </xf>
    <xf numFmtId="10" fontId="10" fillId="0" borderId="1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314325</xdr:colOff>
      <xdr:row>0</xdr:row>
      <xdr:rowOff>49463</xdr:rowOff>
    </xdr:from>
    <xdr:to>
      <xdr:col>7</xdr:col>
      <xdr:colOff>257175</xdr:colOff>
      <xdr:row>7</xdr:row>
      <xdr:rowOff>650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D85EEBB-A1AB-9212-24A3-4FE1316115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1" b="22047"/>
        <a:stretch>
          <a:fillRect/>
        </a:stretch>
      </xdr:blipFill>
      <xdr:spPr>
        <a:xfrm>
          <a:off x="1038225" y="49463"/>
          <a:ext cx="5514975" cy="12846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"/>
  <sheetViews>
    <sheetView showGridLines="0" showRowColHeaders="0" tabSelected="1" topLeftCell="B1" workbookViewId="0">
      <selection sqref="A1:A1048576"/>
    </sheetView>
  </sheetViews>
  <sheetFormatPr baseColWidth="10" defaultColWidth="0" defaultRowHeight="15" zeroHeight="1" x14ac:dyDescent="0.25"/>
  <cols>
    <col min="1" max="1" width="5.5703125" hidden="1" customWidth="1"/>
    <col min="2" max="2" width="5.28515625" customWidth="1"/>
    <col min="3" max="3" width="8.140625" customWidth="1"/>
    <col min="4" max="4" width="29.7109375" customWidth="1"/>
    <col min="5" max="5" width="19" customWidth="1"/>
    <col min="6" max="6" width="7.28515625" customWidth="1"/>
    <col min="7" max="7" width="19.42578125" bestFit="1" customWidth="1"/>
    <col min="8" max="8" width="19.42578125" customWidth="1"/>
    <col min="9" max="9" width="10" customWidth="1"/>
    <col min="10" max="10" width="12.85546875" customWidth="1"/>
    <col min="11" max="11" width="17.140625" hidden="1" customWidth="1"/>
    <col min="12" max="16384" width="9.140625" hidden="1"/>
  </cols>
  <sheetData>
    <row r="1" spans="4:8" x14ac:dyDescent="0.25"/>
    <row r="2" spans="4:8" x14ac:dyDescent="0.25"/>
    <row r="3" spans="4:8" x14ac:dyDescent="0.25"/>
    <row r="4" spans="4:8" x14ac:dyDescent="0.25"/>
    <row r="5" spans="4:8" x14ac:dyDescent="0.25"/>
    <row r="6" spans="4:8" x14ac:dyDescent="0.25"/>
    <row r="7" spans="4:8" x14ac:dyDescent="0.25"/>
    <row r="8" spans="4:8" s="5" customFormat="1" x14ac:dyDescent="0.25">
      <c r="D8" s="7"/>
      <c r="E8" s="8"/>
      <c r="F8" s="14"/>
    </row>
    <row r="9" spans="4:8" ht="24.95" customHeight="1" x14ac:dyDescent="0.35">
      <c r="D9" s="6" t="s">
        <v>0</v>
      </c>
    </row>
    <row r="10" spans="4:8" x14ac:dyDescent="0.25">
      <c r="D10" s="1" t="s">
        <v>1</v>
      </c>
    </row>
    <row r="11" spans="4:8" x14ac:dyDescent="0.25"/>
    <row r="12" spans="4:8" ht="24" customHeight="1" x14ac:dyDescent="0.25">
      <c r="D12" s="11" t="s">
        <v>2</v>
      </c>
      <c r="E12" s="11"/>
      <c r="G12" s="18" t="s">
        <v>3</v>
      </c>
      <c r="H12" s="18"/>
    </row>
    <row r="13" spans="4:8" ht="15.75" customHeight="1" x14ac:dyDescent="0.25">
      <c r="D13" s="19" t="s">
        <v>4</v>
      </c>
      <c r="E13" s="26">
        <v>10000</v>
      </c>
      <c r="F13" s="13"/>
      <c r="G13" s="23" t="s">
        <v>5</v>
      </c>
      <c r="H13" s="24">
        <f>PMT(E15,E14,-E13)</f>
        <v>499.24101969508723</v>
      </c>
    </row>
    <row r="14" spans="4:8" ht="15.75" x14ac:dyDescent="0.25">
      <c r="D14" s="20" t="s">
        <v>6</v>
      </c>
      <c r="E14" s="27">
        <v>24</v>
      </c>
      <c r="F14" s="17"/>
      <c r="G14" s="25" t="s">
        <v>7</v>
      </c>
      <c r="H14" s="24">
        <f>E16-E13</f>
        <v>1981.7844726820931</v>
      </c>
    </row>
    <row r="15" spans="4:8" x14ac:dyDescent="0.25">
      <c r="D15" s="21" t="s">
        <v>8</v>
      </c>
      <c r="E15" s="28">
        <v>1.4999999999999999E-2</v>
      </c>
      <c r="F15" s="12"/>
    </row>
    <row r="16" spans="4:8" x14ac:dyDescent="0.25">
      <c r="D16" s="21" t="s">
        <v>9</v>
      </c>
      <c r="E16" s="29">
        <f>H13*E14</f>
        <v>11981.784472682093</v>
      </c>
      <c r="F16" s="13"/>
    </row>
    <row r="17" spans="3:8" x14ac:dyDescent="0.25">
      <c r="D17" s="22" t="s">
        <v>10</v>
      </c>
      <c r="E17" s="30">
        <f>H14/E13</f>
        <v>0.19817844726820932</v>
      </c>
      <c r="F17" s="12"/>
    </row>
    <row r="18" spans="3:8" x14ac:dyDescent="0.25"/>
    <row r="19" spans="3:8" ht="24" customHeight="1" x14ac:dyDescent="0.25">
      <c r="D19" s="7" t="s">
        <v>11</v>
      </c>
      <c r="E19" s="8"/>
      <c r="F19" s="8"/>
      <c r="G19" s="8"/>
      <c r="H19" s="8"/>
    </row>
    <row r="20" spans="3:8" x14ac:dyDescent="0.25">
      <c r="D20" s="15" t="s">
        <v>12</v>
      </c>
      <c r="E20" s="15" t="s">
        <v>5</v>
      </c>
      <c r="F20" s="16" t="s">
        <v>13</v>
      </c>
      <c r="G20" s="16"/>
      <c r="H20" s="15" t="s">
        <v>7</v>
      </c>
    </row>
    <row r="21" spans="3:8" x14ac:dyDescent="0.25">
      <c r="C21" s="4">
        <v>8</v>
      </c>
      <c r="D21" s="37" t="s">
        <v>14</v>
      </c>
      <c r="E21" s="38">
        <f>PMT($E$15,$C21,-$E$13)</f>
        <v>1335.8402459576648</v>
      </c>
      <c r="F21" s="39">
        <f>$E21*$C21</f>
        <v>10686.721967661319</v>
      </c>
      <c r="G21" s="39"/>
      <c r="H21" s="40">
        <f>$F21-$E$13</f>
        <v>686.72196766131856</v>
      </c>
    </row>
    <row r="22" spans="3:8" x14ac:dyDescent="0.25">
      <c r="C22" s="4">
        <v>12</v>
      </c>
      <c r="D22" s="41" t="s">
        <v>15</v>
      </c>
      <c r="E22" s="31">
        <f>PMT($E$15,$C22,-$E$13)</f>
        <v>916.79992906228938</v>
      </c>
      <c r="F22" s="32">
        <f>$E22*$C22</f>
        <v>11001.599148747473</v>
      </c>
      <c r="G22" s="32"/>
      <c r="H22" s="42">
        <f>$F22-$E$13</f>
        <v>1001.599148747473</v>
      </c>
    </row>
    <row r="23" spans="3:8" x14ac:dyDescent="0.25">
      <c r="C23" s="4">
        <v>24</v>
      </c>
      <c r="D23" s="43" t="s">
        <v>16</v>
      </c>
      <c r="E23" s="33">
        <f>PMT($E$15,$C23,-$E$13)</f>
        <v>499.24101969508723</v>
      </c>
      <c r="F23" s="34">
        <f>$E23*$C23</f>
        <v>11981.784472682093</v>
      </c>
      <c r="G23" s="34"/>
      <c r="H23" s="44">
        <f>$F23-$E$13</f>
        <v>1981.7844726820931</v>
      </c>
    </row>
    <row r="24" spans="3:8" x14ac:dyDescent="0.25">
      <c r="C24" s="4">
        <v>36</v>
      </c>
      <c r="D24" s="41" t="s">
        <v>17</v>
      </c>
      <c r="E24" s="31">
        <f>PMT($E$15,$C24,-$E$13)</f>
        <v>361.52395535916838</v>
      </c>
      <c r="F24" s="32">
        <f>$E24*$C24</f>
        <v>13014.862392930061</v>
      </c>
      <c r="G24" s="32"/>
      <c r="H24" s="42">
        <f>$F24-$E$13</f>
        <v>3014.8623929300611</v>
      </c>
    </row>
    <row r="25" spans="3:8" x14ac:dyDescent="0.25">
      <c r="C25" s="4">
        <v>60</v>
      </c>
      <c r="D25" s="45" t="s">
        <v>18</v>
      </c>
      <c r="E25" s="46">
        <f>PMT($E$15,$C25,-$E$13)</f>
        <v>253.93427427109083</v>
      </c>
      <c r="F25" s="47">
        <f>$E25*$C25</f>
        <v>15236.056456265449</v>
      </c>
      <c r="G25" s="47"/>
      <c r="H25" s="48">
        <f>$F25-$E$13</f>
        <v>5236.056456265449</v>
      </c>
    </row>
    <row r="26" spans="3:8" x14ac:dyDescent="0.25"/>
    <row r="27" spans="3:8" ht="24" customHeight="1" x14ac:dyDescent="0.25">
      <c r="D27" s="7" t="s">
        <v>19</v>
      </c>
      <c r="E27" s="8"/>
      <c r="F27" s="8"/>
      <c r="G27" s="8"/>
      <c r="H27" s="8"/>
    </row>
    <row r="28" spans="3:8" x14ac:dyDescent="0.25">
      <c r="D28" s="49" t="s">
        <v>20</v>
      </c>
      <c r="E28" s="50"/>
      <c r="F28" s="51">
        <v>2000</v>
      </c>
      <c r="G28" s="51"/>
      <c r="H28" s="52"/>
    </row>
    <row r="29" spans="3:8" x14ac:dyDescent="0.25">
      <c r="D29" s="53" t="s">
        <v>26</v>
      </c>
      <c r="E29" s="36"/>
      <c r="F29" s="35">
        <f>F28*30%</f>
        <v>600</v>
      </c>
      <c r="G29" s="35"/>
      <c r="H29" s="54"/>
    </row>
    <row r="30" spans="3:8" x14ac:dyDescent="0.25">
      <c r="D30" s="53" t="s">
        <v>21</v>
      </c>
      <c r="E30" s="36"/>
      <c r="F30" s="35">
        <f>(F29-H13)</f>
        <v>100.75898030491277</v>
      </c>
      <c r="G30" s="35"/>
      <c r="H30" s="54"/>
    </row>
    <row r="31" spans="3:8" x14ac:dyDescent="0.25">
      <c r="D31" s="55" t="s">
        <v>22</v>
      </c>
      <c r="E31" s="56"/>
      <c r="F31" s="57">
        <f>(H13/F28)</f>
        <v>0.24962050984754361</v>
      </c>
      <c r="G31" s="57"/>
      <c r="H31" s="58"/>
    </row>
    <row r="32" spans="3:8" x14ac:dyDescent="0.25"/>
    <row r="33" spans="4:8" x14ac:dyDescent="0.25">
      <c r="D33" s="2" t="s">
        <v>23</v>
      </c>
      <c r="E33" s="10" t="s">
        <v>24</v>
      </c>
      <c r="F33" s="10"/>
      <c r="G33" s="8"/>
      <c r="H33" s="2" t="s">
        <v>25</v>
      </c>
    </row>
    <row r="34" spans="4:8" x14ac:dyDescent="0.25">
      <c r="D34" s="3" t="str">
        <f>IF(F28&gt;=11000,"Perfil Premium",IF(F28&lt;=8000,"Perfil Padrao",IF(F28&lt;=7000,"Perfil Condiciones","Nao Apto")))</f>
        <v>Perfil Padrao</v>
      </c>
      <c r="E34" s="9" t="str">
        <f>IF(F31&gt;=30%,"REJEITADO",IF(F31&gt;=20%,"COM CONDICOES","APROVADO"))</f>
        <v>COM CONDICOES</v>
      </c>
      <c r="F34" s="9"/>
      <c r="G34" s="9"/>
      <c r="H34" s="3" t="str">
        <f>IF(F31&gt;=40%,"Muito Alto",IF(F31&gt;=30%,"Alto",IF(F31&gt;20%," Baixo Com Condicoes","Baixo")))</f>
        <v xml:space="preserve"> Baixo Com Condicoes</v>
      </c>
    </row>
    <row r="35" spans="4:8" x14ac:dyDescent="0.25"/>
    <row r="36" spans="4:8" x14ac:dyDescent="0.25"/>
    <row r="37" spans="4:8" x14ac:dyDescent="0.25"/>
    <row r="38" spans="4:8" x14ac:dyDescent="0.25"/>
    <row r="39" spans="4:8" x14ac:dyDescent="0.25"/>
    <row r="40" spans="4:8" x14ac:dyDescent="0.25"/>
    <row r="41" spans="4:8" x14ac:dyDescent="0.25"/>
    <row r="42" spans="4:8" x14ac:dyDescent="0.25"/>
    <row r="43" spans="4:8" x14ac:dyDescent="0.25"/>
    <row r="44" spans="4:8" x14ac:dyDescent="0.25"/>
    <row r="45" spans="4:8" x14ac:dyDescent="0.25"/>
    <row r="46" spans="4:8" x14ac:dyDescent="0.25"/>
    <row r="47" spans="4:8" x14ac:dyDescent="0.25"/>
    <row r="48" spans="4:8" x14ac:dyDescent="0.25"/>
    <row r="49" customFormat="1" x14ac:dyDescent="0.25"/>
    <row r="50" customFormat="1" x14ac:dyDescent="0.25"/>
  </sheetData>
  <mergeCells count="20">
    <mergeCell ref="F31:H31"/>
    <mergeCell ref="F21:G21"/>
    <mergeCell ref="F22:G22"/>
    <mergeCell ref="F23:G23"/>
    <mergeCell ref="F24:G24"/>
    <mergeCell ref="F25:G25"/>
    <mergeCell ref="F28:H28"/>
    <mergeCell ref="F30:H30"/>
    <mergeCell ref="F29:H29"/>
    <mergeCell ref="F20:G20"/>
    <mergeCell ref="D8:E8"/>
    <mergeCell ref="E34:G34"/>
    <mergeCell ref="D30:E30"/>
    <mergeCell ref="G12:H12"/>
    <mergeCell ref="D29:E29"/>
    <mergeCell ref="D27:H27"/>
    <mergeCell ref="E33:G33"/>
    <mergeCell ref="D28:E28"/>
    <mergeCell ref="D31:E31"/>
    <mergeCell ref="D19:H1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11</vt:i4>
      </vt:variant>
    </vt:vector>
  </HeadingPairs>
  <TitlesOfParts>
    <vt:vector size="12" baseType="lpstr">
      <vt:lpstr>Simulacao_emprestimo_bancarios</vt:lpstr>
      <vt:lpstr>CPD_endevidamento</vt:lpstr>
      <vt:lpstr>CPD_pagamento_disponivel</vt:lpstr>
      <vt:lpstr>Parcela_mensal</vt:lpstr>
      <vt:lpstr>Percentual_risco</vt:lpstr>
      <vt:lpstr>Plazo</vt:lpstr>
      <vt:lpstr>Prazo</vt:lpstr>
      <vt:lpstr>Salario</vt:lpstr>
      <vt:lpstr>Taxa_juros_mensal</vt:lpstr>
      <vt:lpstr>Total_juros</vt:lpstr>
      <vt:lpstr>Total_pagar</vt:lpstr>
      <vt:lpstr>Valor_emprestimo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cecilia cuevas</cp:lastModifiedBy>
  <dcterms:created xsi:type="dcterms:W3CDTF">2026-09-03T15:38:38Z</dcterms:created>
  <dcterms:modified xsi:type="dcterms:W3CDTF">2026-09-04T20:07:19Z</dcterms:modified>
</cp:coreProperties>
</file>